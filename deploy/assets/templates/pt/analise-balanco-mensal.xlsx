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dy.bradbury_nowve\Downloads\"/>
    </mc:Choice>
  </mc:AlternateContent>
  <xr:revisionPtr revIDLastSave="0" documentId="13_ncr:1_{7A63DBCB-DC93-44A9-B89F-CABBAD249A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o Mens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 s="1"/>
  <c r="C11" i="1"/>
  <c r="D11" i="1" s="1"/>
  <c r="C7" i="1"/>
  <c r="D29" i="1" s="1"/>
  <c r="C2" i="1"/>
  <c r="C27" i="1" l="1"/>
  <c r="D28" i="1"/>
  <c r="C34" i="1" l="1"/>
  <c r="D27" i="1"/>
  <c r="C39" i="1" l="1"/>
  <c r="D34" i="1"/>
</calcChain>
</file>

<file path=xl/sharedStrings.xml><?xml version="1.0" encoding="utf-8"?>
<sst xmlns="http://schemas.openxmlformats.org/spreadsheetml/2006/main" count="76" uniqueCount="72">
  <si>
    <t>Balanço Mensal de Finanças Pessoais</t>
  </si>
  <si>
    <t>Valor</t>
  </si>
  <si>
    <t>Porcentagem</t>
  </si>
  <si>
    <t>Comentários</t>
  </si>
  <si>
    <t>#</t>
  </si>
  <si>
    <t>Patrimônio Líquido</t>
  </si>
  <si>
    <t>Ativos (valor atual do carro, casa, propriedade, negócio)</t>
  </si>
  <si>
    <t>Investimentos (plano de previdência, fundos, ações - todos eles)</t>
  </si>
  <si>
    <t>Poupança</t>
  </si>
  <si>
    <t>Geralmente em Contas Poupança ou em investimentos muito líquidos (Ex. Brasil - CDB liquidez diária)</t>
  </si>
  <si>
    <t>Dívida (empréstimos estudantis, cartão de crédito, hipoteca)</t>
  </si>
  <si>
    <t>Renda Mensal Líquida</t>
  </si>
  <si>
    <t>Trabalho em tempo integral (todos da família)</t>
  </si>
  <si>
    <t>Juros / Dividendos</t>
  </si>
  <si>
    <t>Dividendos de ações</t>
  </si>
  <si>
    <t>Outras fontes de renda</t>
  </si>
  <si>
    <t>Custos Fixos (50-60% da renda mensal total)</t>
  </si>
  <si>
    <t>8.1</t>
  </si>
  <si>
    <t>Aluguel / Hipoteca</t>
  </si>
  <si>
    <t>8.2</t>
  </si>
  <si>
    <t>Serviços Públicos</t>
  </si>
  <si>
    <t>Luz, Água, Gás</t>
  </si>
  <si>
    <t>8.3</t>
  </si>
  <si>
    <t>Seguro</t>
  </si>
  <si>
    <t>8.4</t>
  </si>
  <si>
    <t>Pagamento de Carro / Transporte (Gasolina, Uber, Táxis)</t>
  </si>
  <si>
    <t>8.5</t>
  </si>
  <si>
    <t>Pagamento de Dívidas</t>
  </si>
  <si>
    <t>8.6</t>
  </si>
  <si>
    <t>Cuidados Infantis/Pré-escola/Crianças</t>
  </si>
  <si>
    <t>8.7</t>
  </si>
  <si>
    <t>Empregado Doméstico</t>
  </si>
  <si>
    <t>8.8</t>
  </si>
  <si>
    <t>Mercado</t>
  </si>
  <si>
    <t>8.9</t>
  </si>
  <si>
    <t>Roupas</t>
  </si>
  <si>
    <t>8.10</t>
  </si>
  <si>
    <t>Telefone e Internet</t>
  </si>
  <si>
    <t>8.11</t>
  </si>
  <si>
    <t>Reparos e Manutenção</t>
  </si>
  <si>
    <t>8.12</t>
  </si>
  <si>
    <t>Assinaturas</t>
  </si>
  <si>
    <t>8.13</t>
  </si>
  <si>
    <t>Beleza e Cuidado</t>
  </si>
  <si>
    <t>8.14</t>
  </si>
  <si>
    <t>Farmácia e Saúde</t>
  </si>
  <si>
    <t>8.15</t>
  </si>
  <si>
    <t>Diversos (adiciona automaticamente 15% para coisas que você esqueceu)</t>
  </si>
  <si>
    <r>
      <rPr>
        <sz val="10"/>
        <color rgb="FF000000"/>
        <rFont val="Aptos Narrow"/>
      </rPr>
      <t xml:space="preserve">Adicione </t>
    </r>
    <r>
      <rPr>
        <b/>
        <sz val="10"/>
        <color rgb="FFFF0000"/>
        <rFont val="Aptos Narrow"/>
      </rPr>
      <t>15%</t>
    </r>
    <r>
      <rPr>
        <sz val="10"/>
        <color rgb="FF000000"/>
        <rFont val="Aptos Narrow"/>
      </rPr>
      <t xml:space="preserve"> a todas as despesas fixas para cobrir quaisquer despesas adicionais ou esquecidas</t>
    </r>
  </si>
  <si>
    <t>Renda após Custos Fixos</t>
  </si>
  <si>
    <t>Gastos sem Culpa (20-35% da renda mensal total)</t>
  </si>
  <si>
    <t>Comer fora, cinema, o que você quiser!</t>
  </si>
  <si>
    <t>Investimentos (10% da renda mensal total)</t>
  </si>
  <si>
    <t>10.1</t>
  </si>
  <si>
    <t>Plano de Previdência</t>
  </si>
  <si>
    <t>10.2</t>
  </si>
  <si>
    <t>Investimentos em REAIS</t>
  </si>
  <si>
    <t>10.3</t>
  </si>
  <si>
    <t>Investimentos em DÓLAR</t>
  </si>
  <si>
    <t>10.4</t>
  </si>
  <si>
    <t>Investimentos em EUR</t>
  </si>
  <si>
    <t>Renda após TODAS as Despesas e Investimentos</t>
  </si>
  <si>
    <t>Metas de Poupança (5-10% da renda mensal total)</t>
  </si>
  <si>
    <t>11.1</t>
  </si>
  <si>
    <t>Fundo de Férias</t>
  </si>
  <si>
    <t>11.2</t>
  </si>
  <si>
    <t>Poupança para Despesas que você sabe que ocorrem todo ano</t>
  </si>
  <si>
    <t>Aniversários, Natal, etc. Despesas que você já espera todo ano e pode projetá-las ao longo do ano</t>
  </si>
  <si>
    <t>11.3</t>
  </si>
  <si>
    <t>Fondo de Emergência</t>
  </si>
  <si>
    <t>Sobrou?</t>
  </si>
  <si>
    <t>Idealmente, a sobra deve ser o mais próximo de 0 possível, pois refletimos para onde TODO o nosso dinheiro vai no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</si>
</sst>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"/>
  </numFmts>
  <fonts count="7" x14ac:knownFonts="1">
    <font>
      <sz val="10"/>
      <color rgb="FF000000"/>
      <name val="Aptos Narrow"/>
      <scheme val="minor"/>
    </font>
    <font>
      <b/>
      <sz val="10"/>
      <color theme="1"/>
      <name val="Aptos Narrow"/>
    </font>
    <font>
      <b/>
      <sz val="10"/>
      <color rgb="FF000000"/>
      <name val="Aptos Narrow"/>
    </font>
    <font>
      <sz val="10"/>
      <color rgb="FF000000"/>
      <name val="Aptos Narrow"/>
    </font>
    <font>
      <sz val="10"/>
      <color theme="1"/>
      <name val="Aptos Narrow"/>
    </font>
    <font>
      <sz val="10"/>
      <color theme="1"/>
      <name val="Arial"/>
    </font>
    <font>
      <b/>
      <sz val="10"/>
      <color rgb="FFFF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D0E0E3"/>
        <bgColor rgb="FFD0E0E3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C1E4F5"/>
        <bgColor rgb="FFC1E4F5"/>
      </patternFill>
    </fill>
    <fill>
      <patternFill patternType="solid">
        <fgColor rgb="FFDBE9F7"/>
        <bgColor rgb="FFDBE9F7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 wrapText="1"/>
    </xf>
    <xf numFmtId="164" fontId="4" fillId="3" borderId="9" xfId="0" applyNumberFormat="1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/>
    </xf>
    <xf numFmtId="164" fontId="2" fillId="4" borderId="5" xfId="0" applyNumberFormat="1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center" vertical="center" wrapText="1"/>
    </xf>
    <xf numFmtId="10" fontId="4" fillId="4" borderId="7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/>
    </xf>
    <xf numFmtId="164" fontId="1" fillId="5" borderId="5" xfId="0" applyNumberFormat="1" applyFont="1" applyFill="1" applyBorder="1" applyAlignment="1">
      <alignment vertical="center"/>
    </xf>
    <xf numFmtId="10" fontId="1" fillId="5" borderId="5" xfId="0" applyNumberFormat="1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4" fillId="5" borderId="7" xfId="0" applyFont="1" applyFill="1" applyBorder="1" applyAlignment="1">
      <alignment horizontal="center" vertical="center" wrapText="1"/>
    </xf>
    <xf numFmtId="10" fontId="4" fillId="5" borderId="7" xfId="0" applyNumberFormat="1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10" fontId="6" fillId="5" borderId="7" xfId="0" applyNumberFormat="1" applyFont="1" applyFill="1" applyBorder="1" applyAlignment="1">
      <alignment vertical="center"/>
    </xf>
    <xf numFmtId="0" fontId="3" fillId="5" borderId="8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/>
    </xf>
    <xf numFmtId="164" fontId="1" fillId="6" borderId="5" xfId="0" applyNumberFormat="1" applyFont="1" applyFill="1" applyBorder="1" applyAlignment="1">
      <alignment vertical="center"/>
    </xf>
    <xf numFmtId="10" fontId="1" fillId="6" borderId="5" xfId="0" applyNumberFormat="1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vertical="center"/>
    </xf>
    <xf numFmtId="164" fontId="1" fillId="7" borderId="5" xfId="0" applyNumberFormat="1" applyFont="1" applyFill="1" applyBorder="1" applyAlignment="1">
      <alignment vertical="center"/>
    </xf>
    <xf numFmtId="10" fontId="1" fillId="7" borderId="5" xfId="0" applyNumberFormat="1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center" vertical="center" wrapText="1"/>
    </xf>
    <xf numFmtId="10" fontId="4" fillId="7" borderId="7" xfId="0" applyNumberFormat="1" applyFont="1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0" fontId="3" fillId="7" borderId="12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vertical="center"/>
    </xf>
    <xf numFmtId="164" fontId="1" fillId="8" borderId="5" xfId="0" applyNumberFormat="1" applyFont="1" applyFill="1" applyBorder="1" applyAlignment="1">
      <alignment vertical="center"/>
    </xf>
    <xf numFmtId="10" fontId="1" fillId="8" borderId="5" xfId="0" applyNumberFormat="1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4" fillId="8" borderId="7" xfId="0" applyFont="1" applyFill="1" applyBorder="1" applyAlignment="1">
      <alignment horizontal="center" vertical="center" wrapText="1"/>
    </xf>
    <xf numFmtId="10" fontId="4" fillId="8" borderId="7" xfId="0" applyNumberFormat="1" applyFont="1" applyFill="1" applyBorder="1" applyAlignment="1">
      <alignment vertical="center"/>
    </xf>
    <xf numFmtId="0" fontId="3" fillId="8" borderId="8" xfId="0" applyFont="1" applyFill="1" applyBorder="1" applyAlignment="1">
      <alignment vertical="center"/>
    </xf>
    <xf numFmtId="0" fontId="3" fillId="8" borderId="8" xfId="0" applyFont="1" applyFill="1" applyBorder="1" applyAlignment="1">
      <alignment vertical="center" wrapText="1"/>
    </xf>
    <xf numFmtId="0" fontId="3" fillId="8" borderId="12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164" fontId="4" fillId="0" borderId="13" xfId="0" applyNumberFormat="1" applyFont="1" applyBorder="1" applyAlignment="1">
      <alignment vertical="center"/>
    </xf>
    <xf numFmtId="10" fontId="1" fillId="0" borderId="14" xfId="0" applyNumberFormat="1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A40" sqref="A40"/>
    </sheetView>
  </sheetViews>
  <sheetFormatPr defaultColWidth="14.44140625" defaultRowHeight="15" customHeight="1" x14ac:dyDescent="0.3"/>
  <cols>
    <col min="1" max="1" width="8.88671875" customWidth="1"/>
    <col min="2" max="2" width="48.44140625" customWidth="1"/>
    <col min="3" max="3" width="17" customWidth="1"/>
    <col min="4" max="4" width="9.88671875" customWidth="1"/>
    <col min="5" max="5" width="47.6640625" customWidth="1"/>
    <col min="6" max="25" width="13.6640625" customWidth="1"/>
  </cols>
  <sheetData>
    <row r="1" spans="1:26" ht="15.75" customHeight="1" x14ac:dyDescent="0.3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3">
      <c r="A2" s="7" t="s">
        <v>4</v>
      </c>
      <c r="B2" s="8" t="s">
        <v>5</v>
      </c>
      <c r="C2" s="9">
        <f>SUM(C3:C5)-C6</f>
        <v>0</v>
      </c>
      <c r="D2" s="10"/>
      <c r="E2" s="11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3">
      <c r="A3" s="12">
        <v>1</v>
      </c>
      <c r="B3" s="13" t="s">
        <v>6</v>
      </c>
      <c r="C3" s="14">
        <v>0</v>
      </c>
      <c r="D3" s="15"/>
      <c r="E3" s="1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3">
      <c r="A4" s="12">
        <v>2</v>
      </c>
      <c r="B4" s="13" t="s">
        <v>7</v>
      </c>
      <c r="C4" s="14">
        <v>0</v>
      </c>
      <c r="D4" s="15"/>
      <c r="E4" s="1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7.6" x14ac:dyDescent="0.3">
      <c r="A5" s="12">
        <v>3</v>
      </c>
      <c r="B5" s="13" t="s">
        <v>8</v>
      </c>
      <c r="C5" s="14">
        <v>0</v>
      </c>
      <c r="D5" s="15"/>
      <c r="E5" s="17" t="s">
        <v>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3">
      <c r="A6" s="12">
        <v>4</v>
      </c>
      <c r="B6" s="13" t="s">
        <v>10</v>
      </c>
      <c r="C6" s="18">
        <v>0</v>
      </c>
      <c r="D6" s="19"/>
      <c r="E6" s="1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3">
      <c r="A7" s="20" t="s">
        <v>4</v>
      </c>
      <c r="B7" s="21" t="s">
        <v>11</v>
      </c>
      <c r="C7" s="22">
        <f>SUM(C8:C10)</f>
        <v>0</v>
      </c>
      <c r="D7" s="23"/>
      <c r="E7" s="24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3">
      <c r="A8" s="25">
        <v>5</v>
      </c>
      <c r="B8" s="13" t="s">
        <v>12</v>
      </c>
      <c r="C8" s="14">
        <v>0</v>
      </c>
      <c r="D8" s="26"/>
      <c r="E8" s="2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3">
      <c r="A9" s="25">
        <v>6</v>
      </c>
      <c r="B9" s="13" t="s">
        <v>13</v>
      </c>
      <c r="C9" s="14">
        <v>0</v>
      </c>
      <c r="D9" s="26"/>
      <c r="E9" s="27" t="s">
        <v>14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3">
      <c r="A10" s="25">
        <v>7</v>
      </c>
      <c r="B10" s="13" t="s">
        <v>15</v>
      </c>
      <c r="C10" s="14">
        <v>0</v>
      </c>
      <c r="D10" s="26"/>
      <c r="E10" s="2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3">
      <c r="A11" s="28">
        <v>8</v>
      </c>
      <c r="B11" s="29" t="s">
        <v>16</v>
      </c>
      <c r="C11" s="30">
        <f>SUM(C12:C26)</f>
        <v>0</v>
      </c>
      <c r="D11" s="31" t="str">
        <f>IFERROR(C11/C7,"")</f>
        <v/>
      </c>
      <c r="E11" s="32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3">
      <c r="A12" s="33" t="s">
        <v>17</v>
      </c>
      <c r="B12" s="13" t="s">
        <v>18</v>
      </c>
      <c r="C12" s="14">
        <v>0</v>
      </c>
      <c r="D12" s="34"/>
      <c r="E12" s="3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3">
      <c r="A13" s="33" t="s">
        <v>19</v>
      </c>
      <c r="B13" s="13" t="s">
        <v>20</v>
      </c>
      <c r="C13" s="14">
        <v>0</v>
      </c>
      <c r="D13" s="34"/>
      <c r="E13" s="35" t="s">
        <v>21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3">
      <c r="A14" s="33" t="s">
        <v>22</v>
      </c>
      <c r="B14" s="13" t="s">
        <v>23</v>
      </c>
      <c r="C14" s="14">
        <v>0</v>
      </c>
      <c r="D14" s="34"/>
      <c r="E14" s="3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">
      <c r="A15" s="33" t="s">
        <v>24</v>
      </c>
      <c r="B15" s="13" t="s">
        <v>25</v>
      </c>
      <c r="C15" s="14">
        <v>0</v>
      </c>
      <c r="D15" s="34"/>
      <c r="E15" s="3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3">
      <c r="A16" s="33" t="s">
        <v>26</v>
      </c>
      <c r="B16" s="13" t="s">
        <v>27</v>
      </c>
      <c r="C16" s="14">
        <v>0</v>
      </c>
      <c r="D16" s="34"/>
      <c r="E16" s="3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3">
      <c r="A17" s="33" t="s">
        <v>28</v>
      </c>
      <c r="B17" s="13" t="s">
        <v>29</v>
      </c>
      <c r="C17" s="14">
        <v>0</v>
      </c>
      <c r="D17" s="34"/>
      <c r="E17" s="3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3">
      <c r="A18" s="33" t="s">
        <v>30</v>
      </c>
      <c r="B18" s="13" t="s">
        <v>31</v>
      </c>
      <c r="C18" s="14">
        <v>0</v>
      </c>
      <c r="D18" s="34"/>
      <c r="E18" s="3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">
      <c r="A19" s="33" t="s">
        <v>32</v>
      </c>
      <c r="B19" s="13" t="s">
        <v>33</v>
      </c>
      <c r="C19" s="14">
        <v>0</v>
      </c>
      <c r="D19" s="34"/>
      <c r="E19" s="3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3">
      <c r="A20" s="33" t="s">
        <v>34</v>
      </c>
      <c r="B20" s="13" t="s">
        <v>35</v>
      </c>
      <c r="C20" s="14">
        <v>0</v>
      </c>
      <c r="D20" s="34"/>
      <c r="E20" s="3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33" t="s">
        <v>36</v>
      </c>
      <c r="B21" s="13" t="s">
        <v>37</v>
      </c>
      <c r="C21" s="14">
        <v>0</v>
      </c>
      <c r="D21" s="34"/>
      <c r="E21" s="3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33" t="s">
        <v>38</v>
      </c>
      <c r="B22" s="13" t="s">
        <v>39</v>
      </c>
      <c r="C22" s="14">
        <v>0</v>
      </c>
      <c r="D22" s="34"/>
      <c r="E22" s="3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33" t="s">
        <v>40</v>
      </c>
      <c r="B23" s="13" t="s">
        <v>41</v>
      </c>
      <c r="C23" s="14">
        <v>0</v>
      </c>
      <c r="D23" s="34"/>
      <c r="E23" s="3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33" t="s">
        <v>42</v>
      </c>
      <c r="B24" s="13" t="s">
        <v>43</v>
      </c>
      <c r="C24" s="14">
        <v>0</v>
      </c>
      <c r="D24" s="34"/>
      <c r="E24" s="3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33" t="s">
        <v>44</v>
      </c>
      <c r="B25" s="13" t="s">
        <v>45</v>
      </c>
      <c r="C25" s="14">
        <v>0</v>
      </c>
      <c r="D25" s="34"/>
      <c r="E25" s="3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7.6" x14ac:dyDescent="0.3">
      <c r="A26" s="33" t="s">
        <v>46</v>
      </c>
      <c r="B26" s="13" t="s">
        <v>47</v>
      </c>
      <c r="C26" s="14">
        <v>0</v>
      </c>
      <c r="D26" s="36">
        <v>0.15</v>
      </c>
      <c r="E26" s="37" t="s">
        <v>48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38" t="s">
        <v>4</v>
      </c>
      <c r="B27" s="4" t="s">
        <v>49</v>
      </c>
      <c r="C27" s="3">
        <f>C7-C11</f>
        <v>0</v>
      </c>
      <c r="D27" s="39" t="str">
        <f>IFERROR(C27/C7,"")</f>
        <v/>
      </c>
      <c r="E27" s="4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41">
        <v>9</v>
      </c>
      <c r="B28" s="42" t="s">
        <v>50</v>
      </c>
      <c r="C28" s="43">
        <v>0</v>
      </c>
      <c r="D28" s="44" t="str">
        <f>IFERROR(C28/C7,"")</f>
        <v/>
      </c>
      <c r="E28" s="45" t="s">
        <v>51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46">
        <v>10</v>
      </c>
      <c r="B29" s="47" t="s">
        <v>52</v>
      </c>
      <c r="C29" s="48">
        <v>0</v>
      </c>
      <c r="D29" s="49" t="str">
        <f>IFERROR(C29/C7,"")</f>
        <v/>
      </c>
      <c r="E29" s="5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51" t="s">
        <v>53</v>
      </c>
      <c r="B30" s="13" t="s">
        <v>54</v>
      </c>
      <c r="C30" s="14">
        <v>0</v>
      </c>
      <c r="D30" s="52"/>
      <c r="E30" s="53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51" t="s">
        <v>55</v>
      </c>
      <c r="B31" s="13" t="s">
        <v>56</v>
      </c>
      <c r="C31" s="14">
        <v>0</v>
      </c>
      <c r="D31" s="52"/>
      <c r="E31" s="53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51" t="s">
        <v>57</v>
      </c>
      <c r="B32" s="13" t="s">
        <v>58</v>
      </c>
      <c r="C32" s="14">
        <v>0</v>
      </c>
      <c r="D32" s="52"/>
      <c r="E32" s="53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51" t="s">
        <v>59</v>
      </c>
      <c r="B33" s="13" t="s">
        <v>60</v>
      </c>
      <c r="C33" s="14">
        <v>0</v>
      </c>
      <c r="D33" s="52"/>
      <c r="E33" s="5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38" t="s">
        <v>4</v>
      </c>
      <c r="B34" s="55" t="s">
        <v>61</v>
      </c>
      <c r="C34" s="3">
        <f>C27-C28-C29</f>
        <v>0</v>
      </c>
      <c r="D34" s="39" t="str">
        <f>IFERROR(C34/C7,"")</f>
        <v/>
      </c>
      <c r="E34" s="4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56">
        <v>11</v>
      </c>
      <c r="B35" s="57" t="s">
        <v>62</v>
      </c>
      <c r="C35" s="58">
        <f>SUM(C36:C38)</f>
        <v>0</v>
      </c>
      <c r="D35" s="59" t="str">
        <f>IFERROR(C35/C7,"")</f>
        <v/>
      </c>
      <c r="E35" s="6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1" t="s">
        <v>63</v>
      </c>
      <c r="B36" s="13" t="s">
        <v>64</v>
      </c>
      <c r="C36" s="14">
        <v>0</v>
      </c>
      <c r="D36" s="62"/>
      <c r="E36" s="63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7.6" x14ac:dyDescent="0.3">
      <c r="A37" s="61" t="s">
        <v>65</v>
      </c>
      <c r="B37" s="13" t="s">
        <v>66</v>
      </c>
      <c r="C37" s="14">
        <v>0</v>
      </c>
      <c r="D37" s="62"/>
      <c r="E37" s="64" t="s">
        <v>67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1" t="s">
        <v>68</v>
      </c>
      <c r="B38" s="13" t="s">
        <v>69</v>
      </c>
      <c r="C38" s="14">
        <v>0</v>
      </c>
      <c r="D38" s="62"/>
      <c r="E38" s="6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7.6" x14ac:dyDescent="0.3">
      <c r="A39" s="66" t="s">
        <v>4</v>
      </c>
      <c r="B39" s="67" t="s">
        <v>70</v>
      </c>
      <c r="C39" s="68">
        <f>C34-C35</f>
        <v>0</v>
      </c>
      <c r="D39" s="69"/>
      <c r="E39" s="70" t="s">
        <v>71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71"/>
      <c r="B40" s="6"/>
      <c r="C40" s="72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71"/>
      <c r="B41" s="6"/>
      <c r="C41" s="72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71"/>
      <c r="B42" s="6"/>
      <c r="C42" s="72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71"/>
      <c r="B43" s="6"/>
      <c r="C43" s="72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71"/>
      <c r="B44" s="6"/>
      <c r="C44" s="72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71"/>
      <c r="B45" s="6"/>
      <c r="C45" s="72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71"/>
      <c r="B46" s="6"/>
      <c r="C46" s="72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71"/>
      <c r="B47" s="6"/>
      <c r="C47" s="72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71"/>
      <c r="B48" s="6"/>
      <c r="C48" s="72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71"/>
      <c r="B49" s="6"/>
      <c r="C49" s="72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71"/>
      <c r="B50" s="6"/>
      <c r="C50" s="72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71"/>
      <c r="B51" s="6"/>
      <c r="C51" s="72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71"/>
      <c r="B52" s="6"/>
      <c r="C52" s="72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71"/>
      <c r="B53" s="6"/>
      <c r="C53" s="72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71"/>
      <c r="B54" s="6"/>
      <c r="C54" s="72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71"/>
      <c r="B55" s="6"/>
      <c r="C55" s="72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71"/>
      <c r="B56" s="6"/>
      <c r="C56" s="72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71"/>
      <c r="B57" s="6"/>
      <c r="C57" s="72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71"/>
      <c r="B58" s="6"/>
      <c r="C58" s="72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71"/>
      <c r="B59" s="6"/>
      <c r="C59" s="72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71"/>
      <c r="B60" s="6"/>
      <c r="C60" s="72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71"/>
      <c r="B61" s="6"/>
      <c r="C61" s="72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71"/>
      <c r="B62" s="6"/>
      <c r="C62" s="72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71"/>
      <c r="B63" s="6"/>
      <c r="C63" s="72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71"/>
      <c r="B64" s="6"/>
      <c r="C64" s="72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71"/>
      <c r="B65" s="6"/>
      <c r="C65" s="72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71"/>
      <c r="B66" s="6"/>
      <c r="C66" s="72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71"/>
      <c r="B67" s="6"/>
      <c r="C67" s="72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71"/>
      <c r="B68" s="6"/>
      <c r="C68" s="72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71"/>
      <c r="B69" s="6"/>
      <c r="C69" s="72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71"/>
      <c r="B70" s="6"/>
      <c r="C70" s="72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71"/>
      <c r="B71" s="6"/>
      <c r="C71" s="7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71"/>
      <c r="B72" s="6"/>
      <c r="C72" s="7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71"/>
      <c r="B73" s="6"/>
      <c r="C73" s="7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71"/>
      <c r="B74" s="6"/>
      <c r="C74" s="7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71"/>
      <c r="B75" s="6"/>
      <c r="C75" s="72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71"/>
      <c r="B76" s="6"/>
      <c r="C76" s="72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71"/>
      <c r="B77" s="6"/>
      <c r="C77" s="72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71"/>
      <c r="B78" s="6"/>
      <c r="C78" s="72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71"/>
      <c r="B79" s="6"/>
      <c r="C79" s="72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71"/>
      <c r="B80" s="6"/>
      <c r="C80" s="72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71"/>
      <c r="B81" s="6"/>
      <c r="C81" s="72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71"/>
      <c r="B82" s="6"/>
      <c r="C82" s="72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71"/>
      <c r="B83" s="6"/>
      <c r="C83" s="72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71"/>
      <c r="B84" s="6"/>
      <c r="C84" s="72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71"/>
      <c r="B85" s="6"/>
      <c r="C85" s="72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71"/>
      <c r="B86" s="6"/>
      <c r="C86" s="72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71"/>
      <c r="B87" s="6"/>
      <c r="C87" s="72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71"/>
      <c r="B88" s="6"/>
      <c r="C88" s="72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71"/>
      <c r="B89" s="6"/>
      <c r="C89" s="72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71"/>
      <c r="B90" s="6"/>
      <c r="C90" s="72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71"/>
      <c r="B91" s="6"/>
      <c r="C91" s="72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71"/>
      <c r="B92" s="6"/>
      <c r="C92" s="72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71"/>
      <c r="B93" s="6"/>
      <c r="C93" s="72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71"/>
      <c r="B94" s="6"/>
      <c r="C94" s="72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71"/>
      <c r="B95" s="6"/>
      <c r="C95" s="72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71"/>
      <c r="B96" s="6"/>
      <c r="C96" s="72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71"/>
      <c r="B97" s="6"/>
      <c r="C97" s="72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71"/>
      <c r="B98" s="6"/>
      <c r="C98" s="72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71"/>
      <c r="B99" s="6"/>
      <c r="C99" s="72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71"/>
      <c r="B100" s="6"/>
      <c r="C100" s="7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71"/>
      <c r="B101" s="6"/>
      <c r="C101" s="7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71"/>
      <c r="B102" s="6"/>
      <c r="C102" s="7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71"/>
      <c r="B103" s="6"/>
      <c r="C103" s="7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71"/>
      <c r="B104" s="6"/>
      <c r="C104" s="7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71"/>
      <c r="B105" s="6"/>
      <c r="C105" s="72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71"/>
      <c r="B106" s="6"/>
      <c r="C106" s="72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71"/>
      <c r="B107" s="6"/>
      <c r="C107" s="72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71"/>
      <c r="B108" s="6"/>
      <c r="C108" s="72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71"/>
      <c r="B109" s="6"/>
      <c r="C109" s="72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71"/>
      <c r="B110" s="6"/>
      <c r="C110" s="7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71"/>
      <c r="B111" s="6"/>
      <c r="C111" s="72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71"/>
      <c r="B112" s="6"/>
      <c r="C112" s="72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71"/>
      <c r="B113" s="6"/>
      <c r="C113" s="72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71"/>
      <c r="B114" s="6"/>
      <c r="C114" s="72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71"/>
      <c r="B115" s="6"/>
      <c r="C115" s="72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71"/>
      <c r="B116" s="6"/>
      <c r="C116" s="72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71"/>
      <c r="B117" s="6"/>
      <c r="C117" s="72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71"/>
      <c r="B118" s="6"/>
      <c r="C118" s="72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71"/>
      <c r="B119" s="6"/>
      <c r="C119" s="72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71"/>
      <c r="B120" s="6"/>
      <c r="C120" s="72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71"/>
      <c r="B121" s="6"/>
      <c r="C121" s="72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71"/>
      <c r="B122" s="6"/>
      <c r="C122" s="72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71"/>
      <c r="B123" s="6"/>
      <c r="C123" s="72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71"/>
      <c r="B124" s="6"/>
      <c r="C124" s="72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71"/>
      <c r="B125" s="6"/>
      <c r="C125" s="72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71"/>
      <c r="B126" s="6"/>
      <c r="C126" s="72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71"/>
      <c r="B127" s="6"/>
      <c r="C127" s="72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71"/>
      <c r="B128" s="6"/>
      <c r="C128" s="72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71"/>
      <c r="B129" s="6"/>
      <c r="C129" s="72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71"/>
      <c r="B130" s="6"/>
      <c r="C130" s="72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71"/>
      <c r="B131" s="6"/>
      <c r="C131" s="72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71"/>
      <c r="B132" s="6"/>
      <c r="C132" s="72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71"/>
      <c r="B133" s="6"/>
      <c r="C133" s="72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71"/>
      <c r="B134" s="6"/>
      <c r="C134" s="72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71"/>
      <c r="B135" s="6"/>
      <c r="C135" s="72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71"/>
      <c r="B136" s="6"/>
      <c r="C136" s="72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71"/>
      <c r="B137" s="6"/>
      <c r="C137" s="72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71"/>
      <c r="B138" s="6"/>
      <c r="C138" s="72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71"/>
      <c r="B139" s="6"/>
      <c r="C139" s="72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71"/>
      <c r="B140" s="6"/>
      <c r="C140" s="72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71"/>
      <c r="B141" s="6"/>
      <c r="C141" s="72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71"/>
      <c r="B142" s="6"/>
      <c r="C142" s="72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71"/>
      <c r="B143" s="6"/>
      <c r="C143" s="72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71"/>
      <c r="B144" s="6"/>
      <c r="C144" s="72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71"/>
      <c r="B145" s="6"/>
      <c r="C145" s="72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71"/>
      <c r="B146" s="6"/>
      <c r="C146" s="72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71"/>
      <c r="B147" s="6"/>
      <c r="C147" s="72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71"/>
      <c r="B148" s="6"/>
      <c r="C148" s="72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71"/>
      <c r="B149" s="6"/>
      <c r="C149" s="72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71"/>
      <c r="B150" s="6"/>
      <c r="C150" s="72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71"/>
      <c r="B151" s="6"/>
      <c r="C151" s="72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71"/>
      <c r="B152" s="6"/>
      <c r="C152" s="72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71"/>
      <c r="B153" s="6"/>
      <c r="C153" s="72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71"/>
      <c r="B154" s="6"/>
      <c r="C154" s="72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71"/>
      <c r="B155" s="6"/>
      <c r="C155" s="72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71"/>
      <c r="B156" s="6"/>
      <c r="C156" s="72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71"/>
      <c r="B157" s="6"/>
      <c r="C157" s="72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71"/>
      <c r="B158" s="6"/>
      <c r="C158" s="72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71"/>
      <c r="B159" s="6"/>
      <c r="C159" s="72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71"/>
      <c r="B160" s="6"/>
      <c r="C160" s="72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71"/>
      <c r="B161" s="6"/>
      <c r="C161" s="72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71"/>
      <c r="B162" s="6"/>
      <c r="C162" s="72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71"/>
      <c r="B163" s="6"/>
      <c r="C163" s="72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71"/>
      <c r="B164" s="6"/>
      <c r="C164" s="72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71"/>
      <c r="B165" s="6"/>
      <c r="C165" s="72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71"/>
      <c r="B166" s="6"/>
      <c r="C166" s="72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71"/>
      <c r="B167" s="6"/>
      <c r="C167" s="72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71"/>
      <c r="B168" s="6"/>
      <c r="C168" s="72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71"/>
      <c r="B169" s="6"/>
      <c r="C169" s="72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71"/>
      <c r="B170" s="6"/>
      <c r="C170" s="72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71"/>
      <c r="B171" s="6"/>
      <c r="C171" s="72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71"/>
      <c r="B172" s="6"/>
      <c r="C172" s="72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71"/>
      <c r="B173" s="6"/>
      <c r="C173" s="72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71"/>
      <c r="B174" s="6"/>
      <c r="C174" s="72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71"/>
      <c r="B175" s="6"/>
      <c r="C175" s="72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71"/>
      <c r="B176" s="6"/>
      <c r="C176" s="72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71"/>
      <c r="B177" s="6"/>
      <c r="C177" s="72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71"/>
      <c r="B178" s="6"/>
      <c r="C178" s="72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71"/>
      <c r="B179" s="6"/>
      <c r="C179" s="72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71"/>
      <c r="B180" s="6"/>
      <c r="C180" s="72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71"/>
      <c r="B181" s="6"/>
      <c r="C181" s="72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71"/>
      <c r="B182" s="6"/>
      <c r="C182" s="72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71"/>
      <c r="B183" s="6"/>
      <c r="C183" s="72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71"/>
      <c r="B184" s="6"/>
      <c r="C184" s="72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71"/>
      <c r="B185" s="6"/>
      <c r="C185" s="72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71"/>
      <c r="B186" s="6"/>
      <c r="C186" s="72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71"/>
      <c r="B187" s="6"/>
      <c r="C187" s="72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71"/>
      <c r="B188" s="6"/>
      <c r="C188" s="72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71"/>
      <c r="B189" s="6"/>
      <c r="C189" s="72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71"/>
      <c r="B190" s="6"/>
      <c r="C190" s="72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71"/>
      <c r="B191" s="6"/>
      <c r="C191" s="72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71"/>
      <c r="B192" s="6"/>
      <c r="C192" s="72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71"/>
      <c r="B193" s="6"/>
      <c r="C193" s="72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71"/>
      <c r="B194" s="6"/>
      <c r="C194" s="72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71"/>
      <c r="B195" s="6"/>
      <c r="C195" s="72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71"/>
      <c r="B196" s="6"/>
      <c r="C196" s="72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71"/>
      <c r="B197" s="6"/>
      <c r="C197" s="72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71"/>
      <c r="B198" s="6"/>
      <c r="C198" s="72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71"/>
      <c r="B199" s="6"/>
      <c r="C199" s="72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71"/>
      <c r="B200" s="6"/>
      <c r="C200" s="72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71"/>
      <c r="B201" s="6"/>
      <c r="C201" s="72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71"/>
      <c r="B202" s="6"/>
      <c r="C202" s="72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71"/>
      <c r="B203" s="6"/>
      <c r="C203" s="72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71"/>
      <c r="B204" s="6"/>
      <c r="C204" s="72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71"/>
      <c r="B205" s="6"/>
      <c r="C205" s="72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71"/>
      <c r="B206" s="6"/>
      <c r="C206" s="72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71"/>
      <c r="B207" s="6"/>
      <c r="C207" s="72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71"/>
      <c r="B208" s="6"/>
      <c r="C208" s="72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71"/>
      <c r="B209" s="6"/>
      <c r="C209" s="72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71"/>
      <c r="B210" s="6"/>
      <c r="C210" s="72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71"/>
      <c r="B211" s="6"/>
      <c r="C211" s="72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71"/>
      <c r="B212" s="6"/>
      <c r="C212" s="72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71"/>
      <c r="B213" s="6"/>
      <c r="C213" s="72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71"/>
      <c r="B214" s="6"/>
      <c r="C214" s="72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71"/>
      <c r="B215" s="6"/>
      <c r="C215" s="72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71"/>
      <c r="B216" s="6"/>
      <c r="C216" s="72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71"/>
      <c r="B217" s="6"/>
      <c r="C217" s="72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71"/>
      <c r="B218" s="6"/>
      <c r="C218" s="72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71"/>
      <c r="B219" s="6"/>
      <c r="C219" s="72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71"/>
      <c r="B220" s="6"/>
      <c r="C220" s="72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71"/>
      <c r="B221" s="6"/>
      <c r="C221" s="72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71"/>
      <c r="B222" s="6"/>
      <c r="C222" s="72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71"/>
      <c r="B223" s="6"/>
      <c r="C223" s="72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71"/>
      <c r="B224" s="6"/>
      <c r="C224" s="72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71"/>
      <c r="B225" s="6"/>
      <c r="C225" s="72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71"/>
      <c r="B226" s="6"/>
      <c r="C226" s="72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71"/>
      <c r="B227" s="6"/>
      <c r="C227" s="72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71"/>
      <c r="B228" s="6"/>
      <c r="C228" s="72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71"/>
      <c r="B229" s="6"/>
      <c r="C229" s="72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71"/>
      <c r="B230" s="6"/>
      <c r="C230" s="72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71"/>
      <c r="B231" s="6"/>
      <c r="C231" s="72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71"/>
      <c r="B232" s="6"/>
      <c r="C232" s="72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71"/>
      <c r="B233" s="6"/>
      <c r="C233" s="72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71"/>
      <c r="B234" s="6"/>
      <c r="C234" s="72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71"/>
      <c r="B235" s="6"/>
      <c r="C235" s="72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71"/>
      <c r="B236" s="6"/>
      <c r="C236" s="72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71"/>
      <c r="B237" s="6"/>
      <c r="C237" s="72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71"/>
      <c r="B238" s="6"/>
      <c r="C238" s="72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71"/>
      <c r="B239" s="6"/>
      <c r="C239" s="72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 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Sandy Bradbury</cp:lastModifiedBy>
  <dcterms:modified xsi:type="dcterms:W3CDTF">2026-07-31T12:04:07Z</dcterms:modified>
</cp:coreProperties>
</file>